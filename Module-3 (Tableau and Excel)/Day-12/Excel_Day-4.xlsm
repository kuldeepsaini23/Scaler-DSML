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hidePivotFieldList="1" defaultThemeVersion="166925"/>
  <mc:AlternateContent xmlns:mc="http://schemas.openxmlformats.org/markup-compatibility/2006">
    <mc:Choice Requires="x15">
      <x15ac:absPath xmlns:x15ac="http://schemas.microsoft.com/office/spreadsheetml/2010/11/ac" url="D:\Scaler\Module-3 (Tableau and Excel)\Day-12\"/>
    </mc:Choice>
  </mc:AlternateContent>
  <xr:revisionPtr revIDLastSave="0" documentId="8_{C15FE32F-6D09-4F81-8DD0-D4D25CD11E56}" xr6:coauthVersionLast="47" xr6:coauthVersionMax="47" xr10:uidLastSave="{00000000-0000-0000-0000-000000000000}"/>
  <bookViews>
    <workbookView xWindow="-108" yWindow="-108" windowWidth="23256" windowHeight="14616" firstSheet="2" activeTab="6" xr2:uid="{5BAB99F3-3CE2-44AB-979A-D4CF23F193CD}"/>
  </bookViews>
  <sheets>
    <sheet name="XLOOKUP" sheetId="1" r:id="rId1"/>
    <sheet name="Data Validation" sheetId="2" r:id="rId2"/>
    <sheet name="From Which Pivot is Created" sheetId="3" r:id="rId3"/>
    <sheet name="Pivot" sheetId="5" r:id="rId4"/>
    <sheet name="Pie chart using Pivot" sheetId="6" r:id="rId5"/>
    <sheet name="Stats" sheetId="7" r:id="rId6"/>
    <sheet name="Batch 1(Macro)" sheetId="8" r:id="rId7"/>
    <sheet name="Batch 2(Macro)" sheetId="9" r:id="rId8"/>
  </sheets>
  <definedNames>
    <definedName name="Slicer_Category">#N/A</definedName>
    <definedName name="Slicer_Segemnt">#N/A</definedName>
  </definedNames>
  <calcPr calcId="191029"/>
  <pivotCaches>
    <pivotCache cacheId="24"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9" l="1"/>
  <c r="E4" i="9"/>
  <c r="E5" i="9"/>
  <c r="E6" i="9"/>
  <c r="E7" i="9"/>
  <c r="E8" i="9"/>
  <c r="E9" i="9"/>
  <c r="E10" i="9"/>
  <c r="E11" i="9"/>
  <c r="E2" i="9"/>
  <c r="E3" i="8"/>
  <c r="E4" i="8"/>
  <c r="E5" i="8"/>
  <c r="E6" i="8"/>
  <c r="E7" i="8"/>
  <c r="E8" i="8"/>
  <c r="E9" i="8"/>
  <c r="E10" i="8"/>
  <c r="E11" i="8"/>
  <c r="E2" i="8"/>
  <c r="I9" i="3" l="1"/>
  <c r="I10" i="3"/>
  <c r="I11" i="3"/>
  <c r="I8" i="3"/>
  <c r="I12" i="3" s="1"/>
  <c r="M12" i="1" a="1"/>
  <c r="M1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<sst xmlns="http://schemas.openxmlformats.org/spreadsheetml/2006/main" count="177" uniqueCount="71">
  <si>
    <t>Col_index_num</t>
  </si>
  <si>
    <t>Row Index</t>
  </si>
  <si>
    <t>Index Number</t>
  </si>
  <si>
    <t>Studend ID</t>
  </si>
  <si>
    <t>English</t>
  </si>
  <si>
    <t>Maths</t>
  </si>
  <si>
    <t>Hindi</t>
  </si>
  <si>
    <t>Student ID</t>
  </si>
  <si>
    <t>Marks</t>
  </si>
  <si>
    <t>Facebook</t>
  </si>
  <si>
    <t>Scaler_Facebook</t>
  </si>
  <si>
    <t>Post</t>
  </si>
  <si>
    <t>Post1</t>
  </si>
  <si>
    <t>Comments</t>
  </si>
  <si>
    <t>I ma very Happy with Scaler</t>
  </si>
  <si>
    <t>I am dissatisfied with the instructor</t>
  </si>
  <si>
    <t>I am able to get the job</t>
  </si>
  <si>
    <t>Data Science is in Boom</t>
  </si>
  <si>
    <t>Bucket</t>
  </si>
  <si>
    <t>Sentiment</t>
  </si>
  <si>
    <t>Customer Satisfied</t>
  </si>
  <si>
    <t>Customer Unsatisfied</t>
  </si>
  <si>
    <t>General</t>
  </si>
  <si>
    <t>Positive</t>
  </si>
  <si>
    <t>Neutral</t>
  </si>
  <si>
    <t>Negative</t>
  </si>
  <si>
    <t>General Discussion</t>
  </si>
  <si>
    <t>Customer Complaint</t>
  </si>
  <si>
    <t>HW</t>
  </si>
  <si>
    <t>Region</t>
  </si>
  <si>
    <t>Central</t>
  </si>
  <si>
    <t>South</t>
  </si>
  <si>
    <t>West</t>
  </si>
  <si>
    <t>North</t>
  </si>
  <si>
    <t>Category</t>
  </si>
  <si>
    <t>Sales</t>
  </si>
  <si>
    <t>Profit</t>
  </si>
  <si>
    <t>Quantity</t>
  </si>
  <si>
    <t>Furniture</t>
  </si>
  <si>
    <t>Office Supply</t>
  </si>
  <si>
    <t>Technology</t>
  </si>
  <si>
    <t>Total Sales</t>
  </si>
  <si>
    <t xml:space="preserve">Do it without Vloopups </t>
  </si>
  <si>
    <t>AND Find marks of student Id =2</t>
  </si>
  <si>
    <t>Total Total</t>
  </si>
  <si>
    <t>Row Labels</t>
  </si>
  <si>
    <t>Grand Total</t>
  </si>
  <si>
    <t>Column Labels</t>
  </si>
  <si>
    <t>Sum of Sales</t>
  </si>
  <si>
    <t>Segemnt</t>
  </si>
  <si>
    <t>High</t>
  </si>
  <si>
    <t>Low</t>
  </si>
  <si>
    <t>Mid</t>
  </si>
  <si>
    <t>(All)</t>
  </si>
  <si>
    <t>Mean</t>
  </si>
  <si>
    <t>Standard Error</t>
  </si>
  <si>
    <t>Median</t>
  </si>
  <si>
    <t>Mode</t>
  </si>
  <si>
    <t>Standard Deviation</t>
  </si>
  <si>
    <t>Sample Variance</t>
  </si>
  <si>
    <t>Kurtosis</t>
  </si>
  <si>
    <t>Skewness</t>
  </si>
  <si>
    <t>Range</t>
  </si>
  <si>
    <t>Minimum</t>
  </si>
  <si>
    <t>Maximum</t>
  </si>
  <si>
    <t>Sum</t>
  </si>
  <si>
    <t>Count</t>
  </si>
  <si>
    <t>Summary Stats</t>
  </si>
  <si>
    <t>Math</t>
  </si>
  <si>
    <t>Science</t>
  </si>
  <si>
    <t>%Marks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</si>
</sst>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7" tint="0.39997558519241921"/>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applyAlignment="1">
      <alignment horizontal="center" vertical="center"/>
    </xf>
    <xf numFmtId="0" fontId="0" fillId="2" borderId="0" xfId="0" applyFill="1" applyAlignment="1">
      <alignment horizontal="center"/>
    </xf>
    <xf numFmtId="0" fontId="0" fillId="2" borderId="0" xfId="0" applyFill="1" applyAlignment="1">
      <alignment horizontal="center" vertical="center"/>
    </xf>
    <xf numFmtId="0" fontId="2" fillId="0" borderId="0" xfId="0" applyFont="1"/>
    <xf numFmtId="0" fontId="0" fillId="3" borderId="0" xfId="0" applyFill="1"/>
    <xf numFmtId="0" fontId="2" fillId="3"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0" borderId="0" xfId="0" applyFill="1" applyBorder="1" applyAlignment="1"/>
    <xf numFmtId="0" fontId="0" fillId="0" borderId="1" xfId="0" applyFill="1" applyBorder="1" applyAlignment="1"/>
    <xf numFmtId="0" fontId="3" fillId="0" borderId="2" xfId="0" applyFont="1" applyFill="1" applyBorder="1" applyAlignment="1">
      <alignment horizontal="centerContinuous"/>
    </xf>
    <xf numFmtId="9" fontId="0" fillId="0" borderId="0" xfId="1" applyFont="1"/>
  </cellXfs>
  <cellStyles count="2">
    <cellStyle name="Normal" xfId="0" builtinId="0"/>
    <cellStyle name="Percent" xfId="1" builtinId="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[Excel_Day-4.xlsm]Pie chart using Pivot!PivotTable3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Total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'Pie chart using 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'Pie chart using Pivot'!$A$4:$A$8</c:f>
              <c:strCache>
                <c:ptCount val="4"/>
                <c:pt idx="0">
                  <c:v>Central</c:v>
                </c:pt>
                <c:pt idx="1">
                  <c:v>North</c:v>
                </c:pt>
                <c:pt idx="2">
                  <c:v>South</c:v>
                </c:pt>
                <c:pt idx="3">
                  <c:v>West</c:v>
                </c:pt>
              </c:strCache>
            </c:strRef>
          </c:cat>
          <c:val>
            <c:numRef>
              <c:f>'Pie chart using Pivot'!$B$4:$B$8</c:f>
              <c:numCache>
                <c:formatCode>0.00%</c:formatCode>
                <c:ptCount val="4"/>
                <c:pt idx="0">
                  <c:v>0.14587547763542369</c:v>
                </c:pt>
                <c:pt idx="1">
                  <c:v>0.31096875702405036</c:v>
                </c:pt>
                <c:pt idx="2">
                  <c:v>0.2208361429534727</c:v>
                </c:pt>
                <c:pt idx="3">
                  <c:v>0.32231962238705325</c:v>
                </c:pt>
              </c:numCache>
            </c:numRef>
          </c:val>
          <c:extLst>
            <c:ext xmlns:c16="http://schemas.microsoft.com/office/drawing/2014/chart" uri="{C3380CC4-5D6E-409C-BE32-E72D297353CC}">
              <c16:uniqueId val="{00000000-34B6-4AF2-9F18-60452E7824B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365760</xdr:colOff>
      <xdr:row>5</xdr:row>
      <xdr:rowOff>76200</xdr:rowOff>
    </xdr:from>
    <xdr:to>
      <xdr:col>19</xdr:col>
      <xdr:colOff>22860</xdr:colOff>
      <xdr:row>32</xdr:row>
      <xdr:rowOff>91440</xdr:rowOff>
    </xdr:to>
    <xdr:graphicFrame macro="">
      <xdr:nvGraphicFramePr>
        <xdr:cNvPr id="2" name="Chart 1">
          <a:extLst>
            <a:ext uri="{FF2B5EF4-FFF2-40B4-BE49-F238E27FC236}">
              <a16:creationId xmlns:a16="http://schemas.microsoft.com/office/drawing/2014/main" id="{3FA39EFF-9A8E-2999-2AE7-10CE0156B5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220980</xdr:colOff>
      <xdr:row>13</xdr:row>
      <xdr:rowOff>7621</xdr:rowOff>
    </xdr:from>
    <xdr:to>
      <xdr:col>22</xdr:col>
      <xdr:colOff>220980</xdr:colOff>
      <xdr:row>19</xdr:row>
      <xdr:rowOff>68580</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4965E9B9-CC37-CA89-D06D-8F281DE888A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584180" y="2385061"/>
              <a:ext cx="1828800" cy="1158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220980</xdr:colOff>
      <xdr:row>6</xdr:row>
      <xdr:rowOff>22861</xdr:rowOff>
    </xdr:from>
    <xdr:to>
      <xdr:col>22</xdr:col>
      <xdr:colOff>220980</xdr:colOff>
      <xdr:row>12</xdr:row>
      <xdr:rowOff>129541</xdr:rowOff>
    </xdr:to>
    <mc:AlternateContent xmlns:mc="http://schemas.openxmlformats.org/markup-compatibility/2006">
      <mc:Choice xmlns:a14="http://schemas.microsoft.com/office/drawing/2010/main" Requires="a14">
        <xdr:graphicFrame macro="">
          <xdr:nvGraphicFramePr>
            <xdr:cNvPr id="4" name="Segemnt">
              <a:extLst>
                <a:ext uri="{FF2B5EF4-FFF2-40B4-BE49-F238E27FC236}">
                  <a16:creationId xmlns:a16="http://schemas.microsoft.com/office/drawing/2014/main" id="{5501F6F8-6744-A491-E0E1-68F87784887D}"/>
                </a:ext>
              </a:extLst>
            </xdr:cNvPr>
            <xdr:cNvGraphicFramePr/>
          </xdr:nvGraphicFramePr>
          <xdr:xfrm>
            <a:off x="0" y="0"/>
            <a:ext cx="0" cy="0"/>
          </xdr:xfrm>
          <a:graphic>
            <a:graphicData uri="http://schemas.microsoft.com/office/drawing/2010/slicer">
              <sle:slicer xmlns:sle="http://schemas.microsoft.com/office/drawing/2010/slicer" name="Segemnt"/>
            </a:graphicData>
          </a:graphic>
        </xdr:graphicFrame>
      </mc:Choice>
      <mc:Fallback>
        <xdr:sp macro="" textlink="">
          <xdr:nvSpPr>
            <xdr:cNvPr id="0" name=""/>
            <xdr:cNvSpPr>
              <a:spLocks noTextEdit="1"/>
            </xdr:cNvSpPr>
          </xdr:nvSpPr>
          <xdr:spPr>
            <a:xfrm>
              <a:off x="10584180" y="1120141"/>
              <a:ext cx="1828800" cy="1203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ldeep Saini" refreshedDate="45186.792828587961" createdVersion="8" refreshedVersion="8" minRefreshableVersion="3" recordCount="14" xr:uid="{C6023F91-2700-4BCE-A6BF-3EE0D68751CC}">
  <cacheSource type="worksheet">
    <worksheetSource ref="A1:F15" sheet="From Which Pivot is Created"/>
  </cacheSource>
  <cacheFields count="6">
    <cacheField name="Region" numFmtId="0">
      <sharedItems count="4">
        <s v="Central"/>
        <s v="South"/>
        <s v="West"/>
        <s v="North"/>
      </sharedItems>
    </cacheField>
    <cacheField name="Category" numFmtId="0">
      <sharedItems count="3">
        <s v="Furniture"/>
        <s v="Office Supply"/>
        <s v="Technology"/>
      </sharedItems>
    </cacheField>
    <cacheField name="Segemnt" numFmtId="0">
      <sharedItems count="3">
        <s v="High"/>
        <s v="Low"/>
        <s v="Mid"/>
      </sharedItems>
    </cacheField>
    <cacheField name="Sales" numFmtId="0">
      <sharedItems containsSemiMixedTypes="0" containsString="0" containsNumber="1" containsInteger="1" minValue="91" maxValue="992"/>
    </cacheField>
    <cacheField name="Profit" numFmtId="0">
      <sharedItems containsSemiMixedTypes="0" containsString="0" containsNumber="1" containsInteger="1" minValue="71" maxValue="989"/>
    </cacheField>
    <cacheField name="Quantity" numFmtId="0">
      <sharedItems containsSemiMixedTypes="0" containsString="0" containsNumber="1" containsInteger="1" minValue="30" maxValue="93"/>
    </cacheField>
  </cacheFields>
  <extLst>
    <ext xmlns:x14="http://schemas.microsoft.com/office/spreadsheetml/2009/9/main" uri="{725AE2AE-9491-48be-B2B4-4EB974FC3084}">
      <x14:pivotCacheDefinition pivotCacheId="4227748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x v="0"/>
    <n v="511"/>
    <n v="716"/>
    <n v="85"/>
  </r>
  <r>
    <x v="1"/>
    <x v="1"/>
    <x v="1"/>
    <n v="808"/>
    <n v="800"/>
    <n v="35"/>
  </r>
  <r>
    <x v="2"/>
    <x v="2"/>
    <x v="2"/>
    <n v="858"/>
    <n v="787"/>
    <n v="30"/>
  </r>
  <r>
    <x v="3"/>
    <x v="1"/>
    <x v="1"/>
    <n v="584"/>
    <n v="71"/>
    <n v="51"/>
  </r>
  <r>
    <x v="1"/>
    <x v="2"/>
    <x v="0"/>
    <n v="91"/>
    <n v="182"/>
    <n v="90"/>
  </r>
  <r>
    <x v="2"/>
    <x v="0"/>
    <x v="1"/>
    <n v="742"/>
    <n v="838"/>
    <n v="93"/>
  </r>
  <r>
    <x v="3"/>
    <x v="1"/>
    <x v="2"/>
    <n v="682"/>
    <n v="72"/>
    <n v="32"/>
  </r>
  <r>
    <x v="0"/>
    <x v="2"/>
    <x v="1"/>
    <n v="787"/>
    <n v="989"/>
    <n v="53"/>
  </r>
  <r>
    <x v="1"/>
    <x v="1"/>
    <x v="0"/>
    <n v="838"/>
    <n v="614"/>
    <n v="74"/>
  </r>
  <r>
    <x v="2"/>
    <x v="2"/>
    <x v="1"/>
    <n v="930"/>
    <n v="840"/>
    <n v="71"/>
  </r>
  <r>
    <x v="3"/>
    <x v="0"/>
    <x v="2"/>
    <n v="992"/>
    <n v="815"/>
    <n v="41"/>
  </r>
  <r>
    <x v="1"/>
    <x v="1"/>
    <x v="1"/>
    <n v="228"/>
    <n v="318"/>
    <n v="44"/>
  </r>
  <r>
    <x v="2"/>
    <x v="2"/>
    <x v="0"/>
    <n v="338"/>
    <n v="157"/>
    <n v="68"/>
  </r>
  <r>
    <x v="3"/>
    <x v="2"/>
    <x v="1"/>
    <n v="509"/>
    <n v="986"/>
    <n v="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B94118-D14B-4FD7-AB2F-93803FDEE897}" name="PivotTable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E9" firstHeaderRow="1" firstDataRow="2" firstDataCol="1" rowPageCount="1" colPageCount="1"/>
  <pivotFields count="6">
    <pivotField axis="axisRow" showAll="0">
      <items count="5">
        <item x="0"/>
        <item x="3"/>
        <item x="1"/>
        <item x="2"/>
        <item t="default"/>
      </items>
    </pivotField>
    <pivotField axis="axisCol" showAll="0">
      <items count="4">
        <item x="0"/>
        <item x="1"/>
        <item x="2"/>
        <item t="default"/>
      </items>
    </pivotField>
    <pivotField axis="axisPage" showAll="0">
      <items count="4">
        <item x="0"/>
        <item x="1"/>
        <item x="2"/>
        <item t="default"/>
      </items>
    </pivotField>
    <pivotField dataField="1" showAll="0"/>
    <pivotField showAll="0"/>
    <pivotField showAll="0"/>
  </pivotFields>
  <rowFields count="1">
    <field x="0"/>
  </rowFields>
  <rowItems count="5">
    <i>
      <x/>
    </i>
    <i>
      <x v="1"/>
    </i>
    <i>
      <x v="2"/>
    </i>
    <i>
      <x v="3"/>
    </i>
    <i t="grand">
      <x/>
    </i>
  </rowItems>
  <colFields count="1">
    <field x="1"/>
  </colFields>
  <colItems count="4">
    <i>
      <x/>
    </i>
    <i>
      <x v="1"/>
    </i>
    <i>
      <x v="2"/>
    </i>
    <i t="grand">
      <x/>
    </i>
  </colItems>
  <pageFields count="1">
    <pageField fld="2" hier="-1"/>
  </pageFields>
  <dataFields count="1">
    <dataField name="Sum of Sales"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2A1A56-AFEA-4CAF-9804-1C29E321071A}" name="PivotTable3"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8" firstHeaderRow="1" firstDataRow="1" firstDataCol="1"/>
  <pivotFields count="6">
    <pivotField axis="axisRow" showAll="0">
      <items count="5">
        <item x="0"/>
        <item x="3"/>
        <item x="1"/>
        <item x="2"/>
        <item t="default"/>
      </items>
    </pivotField>
    <pivotField showAll="0">
      <items count="4">
        <item x="0"/>
        <item x="1"/>
        <item x="2"/>
        <item t="default"/>
      </items>
    </pivotField>
    <pivotField showAll="0">
      <items count="4">
        <item x="0"/>
        <item x="1"/>
        <item x="2"/>
        <item t="default"/>
      </items>
    </pivotField>
    <pivotField dataField="1" showAll="0"/>
    <pivotField showAll="0"/>
    <pivotField showAll="0"/>
  </pivotFields>
  <rowFields count="1">
    <field x="0"/>
  </rowFields>
  <rowItems count="5">
    <i>
      <x/>
    </i>
    <i>
      <x v="1"/>
    </i>
    <i>
      <x v="2"/>
    </i>
    <i>
      <x v="3"/>
    </i>
    <i t="grand">
      <x/>
    </i>
  </rowItems>
  <colItems count="1">
    <i/>
  </colItems>
  <dataFields count="1">
    <dataField name="Sum of Sales" fld="3" showDataAs="percentOfTotal"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EB34E91-E5AF-487C-8F81-2D33F9465DB9}" sourceName="Category">
  <pivotTables>
    <pivotTable tabId="6" name="PivotTable3"/>
  </pivotTables>
  <data>
    <tabular pivotCacheId="422774807">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emnt" xr10:uid="{F7307525-0595-4978-A7E8-65D9F397758D}" sourceName="Segemnt">
  <pivotTables>
    <pivotTable tabId="6" name="PivotTable3"/>
  </pivotTables>
  <data>
    <tabular pivotCacheId="42277480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5E4B401-915B-4741-9048-C578C972B510}" cache="Slicer_Category" caption="Category" rowHeight="234950"/>
  <slicer name="Segemnt" xr10:uid="{2BB36E1C-3606-40CF-A013-B69331CF8C5D}" cache="Slicer_Segemnt" caption="Segemnt"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0970F-8A19-44BE-B3DD-C36679D6723C}">
  <dimension ref="B3:O13"/>
  <sheetViews>
    <sheetView workbookViewId="0">
      <selection activeCell="L14" sqref="L14"/>
    </sheetView>
  </sheetViews>
  <sheetFormatPr defaultRowHeight="14.4" x14ac:dyDescent="0.3"/>
  <cols>
    <col min="5" max="5" width="14.109375" customWidth="1"/>
    <col min="12" max="12" width="11.33203125" customWidth="1"/>
  </cols>
  <sheetData>
    <row r="3" spans="2:15" x14ac:dyDescent="0.3">
      <c r="D3" s="2" t="s">
        <v>0</v>
      </c>
      <c r="E3" s="2"/>
      <c r="F3" s="2"/>
      <c r="G3" s="2"/>
      <c r="H3" s="2"/>
    </row>
    <row r="4" spans="2:15" x14ac:dyDescent="0.3">
      <c r="B4" s="3" t="s">
        <v>1</v>
      </c>
      <c r="C4" s="3"/>
      <c r="D4" t="s">
        <v>2</v>
      </c>
      <c r="E4">
        <v>1</v>
      </c>
      <c r="F4">
        <v>2</v>
      </c>
      <c r="G4">
        <v>3</v>
      </c>
      <c r="H4">
        <v>4</v>
      </c>
    </row>
    <row r="5" spans="2:15" x14ac:dyDescent="0.3">
      <c r="B5" s="3"/>
      <c r="C5" s="3"/>
      <c r="D5">
        <v>1</v>
      </c>
      <c r="E5" s="4" t="s">
        <v>3</v>
      </c>
      <c r="F5" s="4" t="s">
        <v>4</v>
      </c>
      <c r="G5" s="4" t="s">
        <v>5</v>
      </c>
      <c r="H5" s="4" t="s">
        <v>6</v>
      </c>
    </row>
    <row r="6" spans="2:15" x14ac:dyDescent="0.3">
      <c r="B6" s="3"/>
      <c r="C6" s="3"/>
      <c r="D6">
        <v>2</v>
      </c>
      <c r="E6">
        <v>1</v>
      </c>
      <c r="F6">
        <v>16</v>
      </c>
      <c r="G6">
        <v>40</v>
      </c>
      <c r="H6">
        <v>13</v>
      </c>
    </row>
    <row r="7" spans="2:15" x14ac:dyDescent="0.3">
      <c r="B7" s="3"/>
      <c r="C7" s="3"/>
      <c r="D7">
        <v>3</v>
      </c>
      <c r="E7">
        <v>2</v>
      </c>
      <c r="F7" s="5">
        <v>38</v>
      </c>
      <c r="G7" s="5">
        <v>92</v>
      </c>
      <c r="H7" s="5">
        <v>88</v>
      </c>
    </row>
    <row r="8" spans="2:15" x14ac:dyDescent="0.3">
      <c r="B8" s="3"/>
      <c r="C8" s="3"/>
      <c r="D8">
        <v>4</v>
      </c>
      <c r="E8">
        <v>3</v>
      </c>
      <c r="F8">
        <v>61</v>
      </c>
      <c r="G8">
        <v>8</v>
      </c>
      <c r="H8">
        <v>45</v>
      </c>
    </row>
    <row r="9" spans="2:15" x14ac:dyDescent="0.3">
      <c r="B9" s="3"/>
      <c r="C9" s="3"/>
      <c r="D9">
        <v>5</v>
      </c>
      <c r="E9">
        <v>4</v>
      </c>
      <c r="F9">
        <v>14</v>
      </c>
      <c r="G9">
        <v>55</v>
      </c>
      <c r="H9">
        <v>49</v>
      </c>
    </row>
    <row r="10" spans="2:15" x14ac:dyDescent="0.3">
      <c r="B10" s="3"/>
      <c r="C10" s="3"/>
      <c r="D10">
        <v>6</v>
      </c>
      <c r="E10">
        <v>5</v>
      </c>
      <c r="F10">
        <v>26</v>
      </c>
      <c r="G10">
        <v>39</v>
      </c>
      <c r="H10">
        <v>25</v>
      </c>
    </row>
    <row r="11" spans="2:15" x14ac:dyDescent="0.3">
      <c r="I11" s="1" t="s">
        <v>42</v>
      </c>
      <c r="J11" s="1"/>
      <c r="K11" s="1"/>
      <c r="L11" t="s">
        <v>7</v>
      </c>
      <c r="M11" s="4" t="s">
        <v>4</v>
      </c>
      <c r="N11" s="4" t="s">
        <v>5</v>
      </c>
      <c r="O11" s="4" t="s">
        <v>6</v>
      </c>
    </row>
    <row r="12" spans="2:15" x14ac:dyDescent="0.3">
      <c r="I12" s="1"/>
      <c r="J12" s="1"/>
      <c r="K12" s="1"/>
      <c r="L12" t="s">
        <v>8</v>
      </c>
      <c r="M12" cm="1">
        <f t="array" ref="M12:O12">_xlfn.XLOOKUP(E7,E5:E10,F5:H10)</f>
        <v>38</v>
      </c>
      <c r="N12">
        <v>92</v>
      </c>
      <c r="O12">
        <v>88</v>
      </c>
    </row>
    <row r="13" spans="2:15" x14ac:dyDescent="0.3">
      <c r="I13" t="s">
        <v>43</v>
      </c>
    </row>
  </sheetData>
  <mergeCells count="3">
    <mergeCell ref="B4:C10"/>
    <mergeCell ref="D3:H3"/>
    <mergeCell ref="I11:K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22DA-2AC4-4982-90B0-D1144A353BB9}">
  <dimension ref="A1:G32"/>
  <sheetViews>
    <sheetView topLeftCell="A7" workbookViewId="0">
      <selection activeCell="D18" sqref="D18"/>
    </sheetView>
  </sheetViews>
  <sheetFormatPr defaultRowHeight="14.4" x14ac:dyDescent="0.3"/>
  <cols>
    <col min="2" max="2" width="29" customWidth="1"/>
    <col min="3" max="3" width="28.33203125" customWidth="1"/>
    <col min="4" max="4" width="10.5546875" customWidth="1"/>
    <col min="7" max="7" width="19" customWidth="1"/>
  </cols>
  <sheetData>
    <row r="1" spans="1:4" x14ac:dyDescent="0.3">
      <c r="A1" s="4" t="s">
        <v>9</v>
      </c>
      <c r="B1" t="s">
        <v>10</v>
      </c>
    </row>
    <row r="3" spans="1:4" x14ac:dyDescent="0.3">
      <c r="A3" s="4" t="s">
        <v>11</v>
      </c>
      <c r="B3" s="4" t="s">
        <v>13</v>
      </c>
      <c r="C3" s="4" t="s">
        <v>18</v>
      </c>
      <c r="D3" s="4" t="s">
        <v>19</v>
      </c>
    </row>
    <row r="4" spans="1:4" x14ac:dyDescent="0.3">
      <c r="A4" s="4" t="s">
        <v>12</v>
      </c>
      <c r="B4" t="s">
        <v>14</v>
      </c>
      <c r="C4" t="s">
        <v>20</v>
      </c>
      <c r="D4" t="s">
        <v>23</v>
      </c>
    </row>
    <row r="5" spans="1:4" x14ac:dyDescent="0.3">
      <c r="B5" t="s">
        <v>15</v>
      </c>
      <c r="C5" t="s">
        <v>21</v>
      </c>
      <c r="D5" t="s">
        <v>25</v>
      </c>
    </row>
    <row r="6" spans="1:4" x14ac:dyDescent="0.3">
      <c r="B6" t="s">
        <v>16</v>
      </c>
      <c r="C6" t="s">
        <v>20</v>
      </c>
      <c r="D6" t="s">
        <v>23</v>
      </c>
    </row>
    <row r="7" spans="1:4" x14ac:dyDescent="0.3">
      <c r="B7" t="s">
        <v>17</v>
      </c>
      <c r="C7" t="s">
        <v>22</v>
      </c>
      <c r="D7" t="s">
        <v>24</v>
      </c>
    </row>
    <row r="8" spans="1:4" x14ac:dyDescent="0.3">
      <c r="B8" t="s">
        <v>14</v>
      </c>
      <c r="C8" t="s">
        <v>20</v>
      </c>
      <c r="D8" t="s">
        <v>23</v>
      </c>
    </row>
    <row r="9" spans="1:4" x14ac:dyDescent="0.3">
      <c r="B9" t="s">
        <v>14</v>
      </c>
      <c r="C9" t="s">
        <v>20</v>
      </c>
      <c r="D9" t="s">
        <v>23</v>
      </c>
    </row>
    <row r="13" spans="1:4" x14ac:dyDescent="0.3">
      <c r="D13" s="6" t="s">
        <v>28</v>
      </c>
    </row>
    <row r="14" spans="1:4" x14ac:dyDescent="0.3">
      <c r="A14" s="4" t="s">
        <v>11</v>
      </c>
      <c r="B14" s="4" t="s">
        <v>13</v>
      </c>
      <c r="C14" s="4" t="s">
        <v>18</v>
      </c>
      <c r="D14" s="4" t="s">
        <v>19</v>
      </c>
    </row>
    <row r="15" spans="1:4" x14ac:dyDescent="0.3">
      <c r="A15" s="4" t="s">
        <v>12</v>
      </c>
      <c r="B15" t="s">
        <v>14</v>
      </c>
      <c r="C15" t="s">
        <v>20</v>
      </c>
      <c r="D15" t="s">
        <v>23</v>
      </c>
    </row>
    <row r="16" spans="1:4" x14ac:dyDescent="0.3">
      <c r="B16" t="s">
        <v>15</v>
      </c>
      <c r="C16" t="s">
        <v>20</v>
      </c>
      <c r="D16" t="s">
        <v>23</v>
      </c>
    </row>
    <row r="17" spans="2:7" x14ac:dyDescent="0.3">
      <c r="B17" t="s">
        <v>16</v>
      </c>
      <c r="G17" t="s">
        <v>20</v>
      </c>
    </row>
    <row r="18" spans="2:7" x14ac:dyDescent="0.3">
      <c r="B18" t="s">
        <v>17</v>
      </c>
      <c r="C18" t="s">
        <v>26</v>
      </c>
      <c r="D18" t="s">
        <v>24</v>
      </c>
      <c r="G18" t="s">
        <v>21</v>
      </c>
    </row>
    <row r="19" spans="2:7" x14ac:dyDescent="0.3">
      <c r="B19" t="s">
        <v>14</v>
      </c>
      <c r="G19" t="s">
        <v>26</v>
      </c>
    </row>
    <row r="20" spans="2:7" x14ac:dyDescent="0.3">
      <c r="B20" t="s">
        <v>14</v>
      </c>
      <c r="G20" t="s">
        <v>27</v>
      </c>
    </row>
    <row r="21" spans="2:7" x14ac:dyDescent="0.3">
      <c r="B21" t="s">
        <v>14</v>
      </c>
    </row>
    <row r="22" spans="2:7" x14ac:dyDescent="0.3">
      <c r="B22" t="s">
        <v>15</v>
      </c>
    </row>
    <row r="23" spans="2:7" x14ac:dyDescent="0.3">
      <c r="B23" t="s">
        <v>16</v>
      </c>
      <c r="F23" t="s">
        <v>23</v>
      </c>
    </row>
    <row r="24" spans="2:7" x14ac:dyDescent="0.3">
      <c r="B24" t="s">
        <v>17</v>
      </c>
      <c r="F24" t="s">
        <v>25</v>
      </c>
    </row>
    <row r="25" spans="2:7" x14ac:dyDescent="0.3">
      <c r="B25" t="s">
        <v>14</v>
      </c>
      <c r="F25" t="s">
        <v>24</v>
      </c>
    </row>
    <row r="26" spans="2:7" x14ac:dyDescent="0.3">
      <c r="B26" t="s">
        <v>14</v>
      </c>
    </row>
    <row r="27" spans="2:7" x14ac:dyDescent="0.3">
      <c r="B27" t="s">
        <v>14</v>
      </c>
    </row>
    <row r="28" spans="2:7" x14ac:dyDescent="0.3">
      <c r="B28" t="s">
        <v>15</v>
      </c>
    </row>
    <row r="29" spans="2:7" x14ac:dyDescent="0.3">
      <c r="B29" t="s">
        <v>16</v>
      </c>
    </row>
    <row r="30" spans="2:7" x14ac:dyDescent="0.3">
      <c r="B30" t="s">
        <v>17</v>
      </c>
    </row>
    <row r="31" spans="2:7" x14ac:dyDescent="0.3">
      <c r="B31" t="s">
        <v>14</v>
      </c>
    </row>
    <row r="32" spans="2:7" x14ac:dyDescent="0.3">
      <c r="B32" t="s">
        <v>14</v>
      </c>
    </row>
  </sheetData>
  <dataValidations count="2">
    <dataValidation type="list" allowBlank="1" showInputMessage="1" showErrorMessage="1" sqref="C15:C32" xr:uid="{D84F7B7F-79CF-4D3B-9724-51BF84F86FB1}">
      <formula1>$G$17:$G$22</formula1>
    </dataValidation>
    <dataValidation type="list" allowBlank="1" showInputMessage="1" showErrorMessage="1" sqref="D15:D32" xr:uid="{8BE53CF5-A9DF-4B8A-A45D-1AE6E7322AA3}">
      <formula1>$F$23:$F$28</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89F9-0D4C-46B1-8E46-1E6675C95A62}">
  <dimension ref="A1:I15"/>
  <sheetViews>
    <sheetView workbookViewId="0">
      <selection activeCell="F15" sqref="A1:F15"/>
    </sheetView>
  </sheetViews>
  <sheetFormatPr defaultRowHeight="14.4" x14ac:dyDescent="0.3"/>
  <cols>
    <col min="2" max="2" width="12.109375" customWidth="1"/>
    <col min="8" max="8" width="10.21875" customWidth="1"/>
  </cols>
  <sheetData>
    <row r="1" spans="1:9" x14ac:dyDescent="0.3">
      <c r="A1" s="4" t="s">
        <v>29</v>
      </c>
      <c r="B1" s="4" t="s">
        <v>34</v>
      </c>
      <c r="C1" s="4" t="s">
        <v>49</v>
      </c>
      <c r="D1" s="4" t="s">
        <v>35</v>
      </c>
      <c r="E1" s="4" t="s">
        <v>36</v>
      </c>
      <c r="F1" s="4" t="s">
        <v>37</v>
      </c>
    </row>
    <row r="2" spans="1:9" x14ac:dyDescent="0.3">
      <c r="A2" t="s">
        <v>30</v>
      </c>
      <c r="B2" t="s">
        <v>38</v>
      </c>
      <c r="C2" t="s">
        <v>50</v>
      </c>
      <c r="D2">
        <v>511</v>
      </c>
      <c r="E2">
        <v>716</v>
      </c>
      <c r="F2">
        <v>85</v>
      </c>
    </row>
    <row r="3" spans="1:9" x14ac:dyDescent="0.3">
      <c r="A3" t="s">
        <v>31</v>
      </c>
      <c r="B3" t="s">
        <v>39</v>
      </c>
      <c r="C3" t="s">
        <v>51</v>
      </c>
      <c r="D3">
        <v>808</v>
      </c>
      <c r="E3">
        <v>800</v>
      </c>
      <c r="F3">
        <v>35</v>
      </c>
    </row>
    <row r="4" spans="1:9" x14ac:dyDescent="0.3">
      <c r="A4" t="s">
        <v>32</v>
      </c>
      <c r="B4" t="s">
        <v>40</v>
      </c>
      <c r="C4" t="s">
        <v>52</v>
      </c>
      <c r="D4">
        <v>858</v>
      </c>
      <c r="E4">
        <v>787</v>
      </c>
      <c r="F4">
        <v>30</v>
      </c>
    </row>
    <row r="5" spans="1:9" x14ac:dyDescent="0.3">
      <c r="A5" t="s">
        <v>33</v>
      </c>
      <c r="B5" t="s">
        <v>39</v>
      </c>
      <c r="C5" t="s">
        <v>51</v>
      </c>
      <c r="D5">
        <v>584</v>
      </c>
      <c r="E5">
        <v>71</v>
      </c>
      <c r="F5">
        <v>51</v>
      </c>
    </row>
    <row r="6" spans="1:9" x14ac:dyDescent="0.3">
      <c r="A6" t="s">
        <v>31</v>
      </c>
      <c r="B6" t="s">
        <v>40</v>
      </c>
      <c r="C6" t="s">
        <v>50</v>
      </c>
      <c r="D6">
        <v>91</v>
      </c>
      <c r="E6">
        <v>182</v>
      </c>
      <c r="F6">
        <v>90</v>
      </c>
    </row>
    <row r="7" spans="1:9" x14ac:dyDescent="0.3">
      <c r="A7" t="s">
        <v>32</v>
      </c>
      <c r="B7" t="s">
        <v>38</v>
      </c>
      <c r="C7" t="s">
        <v>51</v>
      </c>
      <c r="D7">
        <v>742</v>
      </c>
      <c r="E7">
        <v>838</v>
      </c>
      <c r="F7">
        <v>93</v>
      </c>
      <c r="H7" s="4" t="s">
        <v>29</v>
      </c>
      <c r="I7" s="4" t="s">
        <v>41</v>
      </c>
    </row>
    <row r="8" spans="1:9" x14ac:dyDescent="0.3">
      <c r="A8" t="s">
        <v>33</v>
      </c>
      <c r="B8" t="s">
        <v>39</v>
      </c>
      <c r="C8" t="s">
        <v>52</v>
      </c>
      <c r="D8">
        <v>682</v>
      </c>
      <c r="E8">
        <v>72</v>
      </c>
      <c r="F8">
        <v>32</v>
      </c>
      <c r="H8" t="s">
        <v>30</v>
      </c>
      <c r="I8">
        <f>SUMIFS($D$2:$D$15,$A$2:$A$15,A2)</f>
        <v>1298</v>
      </c>
    </row>
    <row r="9" spans="1:9" x14ac:dyDescent="0.3">
      <c r="A9" t="s">
        <v>30</v>
      </c>
      <c r="B9" t="s">
        <v>40</v>
      </c>
      <c r="C9" t="s">
        <v>51</v>
      </c>
      <c r="D9">
        <v>787</v>
      </c>
      <c r="E9">
        <v>989</v>
      </c>
      <c r="F9">
        <v>53</v>
      </c>
      <c r="H9" t="s">
        <v>31</v>
      </c>
      <c r="I9">
        <f>SUMIFS($D$2:$D$15,$A$2:$A$15,A3)</f>
        <v>1965</v>
      </c>
    </row>
    <row r="10" spans="1:9" x14ac:dyDescent="0.3">
      <c r="A10" t="s">
        <v>31</v>
      </c>
      <c r="B10" t="s">
        <v>39</v>
      </c>
      <c r="C10" t="s">
        <v>50</v>
      </c>
      <c r="D10">
        <v>838</v>
      </c>
      <c r="E10">
        <v>614</v>
      </c>
      <c r="F10">
        <v>74</v>
      </c>
      <c r="H10" t="s">
        <v>32</v>
      </c>
      <c r="I10">
        <f>SUMIFS($D$2:$D$15,$A$2:$A$15,A4)</f>
        <v>2868</v>
      </c>
    </row>
    <row r="11" spans="1:9" x14ac:dyDescent="0.3">
      <c r="A11" t="s">
        <v>32</v>
      </c>
      <c r="B11" t="s">
        <v>40</v>
      </c>
      <c r="C11" t="s">
        <v>51</v>
      </c>
      <c r="D11">
        <v>930</v>
      </c>
      <c r="E11">
        <v>840</v>
      </c>
      <c r="F11">
        <v>71</v>
      </c>
      <c r="H11" t="s">
        <v>33</v>
      </c>
      <c r="I11">
        <f>SUMIFS($D$2:$D$15,$A$2:$A$15,A5)</f>
        <v>2767</v>
      </c>
    </row>
    <row r="12" spans="1:9" x14ac:dyDescent="0.3">
      <c r="A12" t="s">
        <v>33</v>
      </c>
      <c r="B12" t="s">
        <v>38</v>
      </c>
      <c r="C12" t="s">
        <v>52</v>
      </c>
      <c r="D12">
        <v>992</v>
      </c>
      <c r="E12">
        <v>815</v>
      </c>
      <c r="F12">
        <v>41</v>
      </c>
      <c r="H12" s="4" t="s">
        <v>44</v>
      </c>
      <c r="I12" s="4">
        <f>SUM(I8:I11)</f>
        <v>8898</v>
      </c>
    </row>
    <row r="13" spans="1:9" x14ac:dyDescent="0.3">
      <c r="A13" t="s">
        <v>31</v>
      </c>
      <c r="B13" t="s">
        <v>39</v>
      </c>
      <c r="C13" t="s">
        <v>51</v>
      </c>
      <c r="D13">
        <v>228</v>
      </c>
      <c r="E13">
        <v>318</v>
      </c>
      <c r="F13">
        <v>44</v>
      </c>
    </row>
    <row r="14" spans="1:9" x14ac:dyDescent="0.3">
      <c r="A14" t="s">
        <v>32</v>
      </c>
      <c r="B14" t="s">
        <v>40</v>
      </c>
      <c r="C14" t="s">
        <v>50</v>
      </c>
      <c r="D14">
        <v>338</v>
      </c>
      <c r="E14">
        <v>157</v>
      </c>
      <c r="F14">
        <v>68</v>
      </c>
    </row>
    <row r="15" spans="1:9" x14ac:dyDescent="0.3">
      <c r="A15" t="s">
        <v>33</v>
      </c>
      <c r="B15" t="s">
        <v>40</v>
      </c>
      <c r="C15" t="s">
        <v>51</v>
      </c>
      <c r="D15">
        <v>509</v>
      </c>
      <c r="E15">
        <v>986</v>
      </c>
      <c r="F15">
        <v>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E5F8D-50C5-4C28-8C83-676EE2AA2D1B}">
  <dimension ref="A1:E9"/>
  <sheetViews>
    <sheetView workbookViewId="0">
      <selection sqref="A1:E1048576"/>
    </sheetView>
  </sheetViews>
  <sheetFormatPr defaultRowHeight="14.4" x14ac:dyDescent="0.3"/>
  <cols>
    <col min="1" max="1" width="12.5546875" bestFit="1" customWidth="1"/>
    <col min="2" max="2" width="15.5546875" bestFit="1" customWidth="1"/>
    <col min="3" max="3" width="12.21875" bestFit="1" customWidth="1"/>
    <col min="4" max="5" width="10.77734375" bestFit="1" customWidth="1"/>
    <col min="6" max="6" width="12.21875" bestFit="1" customWidth="1"/>
    <col min="7" max="7" width="10.77734375" bestFit="1" customWidth="1"/>
    <col min="8" max="8" width="16.44140625" bestFit="1" customWidth="1"/>
    <col min="9" max="9" width="17.5546875" bestFit="1" customWidth="1"/>
  </cols>
  <sheetData>
    <row r="1" spans="1:5" x14ac:dyDescent="0.3">
      <c r="A1" s="7" t="s">
        <v>49</v>
      </c>
      <c r="B1" t="s">
        <v>53</v>
      </c>
    </row>
    <row r="3" spans="1:5" x14ac:dyDescent="0.3">
      <c r="A3" s="7" t="s">
        <v>48</v>
      </c>
      <c r="B3" s="7" t="s">
        <v>47</v>
      </c>
    </row>
    <row r="4" spans="1:5" x14ac:dyDescent="0.3">
      <c r="A4" s="7" t="s">
        <v>45</v>
      </c>
      <c r="B4" t="s">
        <v>38</v>
      </c>
      <c r="C4" t="s">
        <v>39</v>
      </c>
      <c r="D4" t="s">
        <v>40</v>
      </c>
      <c r="E4" t="s">
        <v>46</v>
      </c>
    </row>
    <row r="5" spans="1:5" x14ac:dyDescent="0.3">
      <c r="A5" s="8" t="s">
        <v>30</v>
      </c>
      <c r="B5" s="9">
        <v>511</v>
      </c>
      <c r="C5" s="9"/>
      <c r="D5" s="9">
        <v>787</v>
      </c>
      <c r="E5" s="9">
        <v>1298</v>
      </c>
    </row>
    <row r="6" spans="1:5" x14ac:dyDescent="0.3">
      <c r="A6" s="8" t="s">
        <v>33</v>
      </c>
      <c r="B6" s="9">
        <v>992</v>
      </c>
      <c r="C6" s="9">
        <v>1266</v>
      </c>
      <c r="D6" s="9">
        <v>509</v>
      </c>
      <c r="E6" s="9">
        <v>2767</v>
      </c>
    </row>
    <row r="7" spans="1:5" x14ac:dyDescent="0.3">
      <c r="A7" s="8" t="s">
        <v>31</v>
      </c>
      <c r="B7" s="9"/>
      <c r="C7" s="9">
        <v>1874</v>
      </c>
      <c r="D7" s="9">
        <v>91</v>
      </c>
      <c r="E7" s="9">
        <v>1965</v>
      </c>
    </row>
    <row r="8" spans="1:5" x14ac:dyDescent="0.3">
      <c r="A8" s="8" t="s">
        <v>32</v>
      </c>
      <c r="B8" s="9">
        <v>742</v>
      </c>
      <c r="C8" s="9"/>
      <c r="D8" s="9">
        <v>2126</v>
      </c>
      <c r="E8" s="9">
        <v>2868</v>
      </c>
    </row>
    <row r="9" spans="1:5" x14ac:dyDescent="0.3">
      <c r="A9" s="8" t="s">
        <v>46</v>
      </c>
      <c r="B9" s="9">
        <v>2245</v>
      </c>
      <c r="C9" s="9">
        <v>3140</v>
      </c>
      <c r="D9" s="9">
        <v>3513</v>
      </c>
      <c r="E9" s="9">
        <v>8898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6432E-547B-40E9-86AA-2A9D718F4AFF}">
  <dimension ref="A3:B8"/>
  <sheetViews>
    <sheetView showGridLines="0" topLeftCell="C4" workbookViewId="0">
      <selection activeCell="B1" sqref="A1:B1048576"/>
    </sheetView>
  </sheetViews>
  <sheetFormatPr defaultRowHeight="14.4" x14ac:dyDescent="0.3"/>
  <cols>
    <col min="1" max="1" width="12.5546875" hidden="1" customWidth="1"/>
    <col min="2" max="2" width="11.6640625" hidden="1" customWidth="1"/>
  </cols>
  <sheetData>
    <row r="3" spans="1:2" x14ac:dyDescent="0.3">
      <c r="A3" s="7" t="s">
        <v>45</v>
      </c>
      <c r="B3" t="s">
        <v>48</v>
      </c>
    </row>
    <row r="4" spans="1:2" x14ac:dyDescent="0.3">
      <c r="A4" s="8" t="s">
        <v>30</v>
      </c>
      <c r="B4" s="10">
        <v>0.14587547763542369</v>
      </c>
    </row>
    <row r="5" spans="1:2" x14ac:dyDescent="0.3">
      <c r="A5" s="8" t="s">
        <v>33</v>
      </c>
      <c r="B5" s="10">
        <v>0.31096875702405036</v>
      </c>
    </row>
    <row r="6" spans="1:2" x14ac:dyDescent="0.3">
      <c r="A6" s="8" t="s">
        <v>31</v>
      </c>
      <c r="B6" s="10">
        <v>0.2208361429534727</v>
      </c>
    </row>
    <row r="7" spans="1:2" x14ac:dyDescent="0.3">
      <c r="A7" s="8" t="s">
        <v>32</v>
      </c>
      <c r="B7" s="10">
        <v>0.32231962238705325</v>
      </c>
    </row>
    <row r="8" spans="1:2" x14ac:dyDescent="0.3">
      <c r="A8" s="8" t="s">
        <v>46</v>
      </c>
      <c r="B8" s="10">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5CDF-276B-4C03-A536-45CBF1B38CE2}">
  <dimension ref="A1:H26"/>
  <sheetViews>
    <sheetView workbookViewId="0">
      <selection activeCell="G13" sqref="G13"/>
    </sheetView>
  </sheetViews>
  <sheetFormatPr defaultRowHeight="14.4" x14ac:dyDescent="0.3"/>
  <cols>
    <col min="7" max="7" width="11.33203125" customWidth="1"/>
    <col min="8" max="8" width="12.44140625" customWidth="1"/>
  </cols>
  <sheetData>
    <row r="1" spans="1:8" x14ac:dyDescent="0.3">
      <c r="A1" s="4" t="s">
        <v>35</v>
      </c>
    </row>
    <row r="2" spans="1:8" x14ac:dyDescent="0.3">
      <c r="A2">
        <v>511</v>
      </c>
    </row>
    <row r="3" spans="1:8" x14ac:dyDescent="0.3">
      <c r="A3">
        <v>808</v>
      </c>
    </row>
    <row r="4" spans="1:8" x14ac:dyDescent="0.3">
      <c r="A4">
        <v>858</v>
      </c>
    </row>
    <row r="5" spans="1:8" x14ac:dyDescent="0.3">
      <c r="A5">
        <v>584</v>
      </c>
    </row>
    <row r="6" spans="1:8" x14ac:dyDescent="0.3">
      <c r="A6">
        <v>91</v>
      </c>
    </row>
    <row r="7" spans="1:8" x14ac:dyDescent="0.3">
      <c r="A7">
        <v>742</v>
      </c>
    </row>
    <row r="8" spans="1:8" x14ac:dyDescent="0.3">
      <c r="A8">
        <v>682</v>
      </c>
    </row>
    <row r="9" spans="1:8" x14ac:dyDescent="0.3">
      <c r="A9">
        <v>787</v>
      </c>
    </row>
    <row r="10" spans="1:8" x14ac:dyDescent="0.3">
      <c r="A10">
        <v>838</v>
      </c>
    </row>
    <row r="11" spans="1:8" ht="15" thickBot="1" x14ac:dyDescent="0.35">
      <c r="A11">
        <v>930</v>
      </c>
    </row>
    <row r="12" spans="1:8" x14ac:dyDescent="0.3">
      <c r="A12">
        <v>992</v>
      </c>
      <c r="G12" s="13" t="s">
        <v>67</v>
      </c>
      <c r="H12" s="13"/>
    </row>
    <row r="13" spans="1:8" x14ac:dyDescent="0.3">
      <c r="A13">
        <v>228</v>
      </c>
      <c r="G13" s="11"/>
      <c r="H13" s="11"/>
    </row>
    <row r="14" spans="1:8" x14ac:dyDescent="0.3">
      <c r="A14">
        <v>339</v>
      </c>
      <c r="G14" s="11" t="s">
        <v>54</v>
      </c>
      <c r="H14" s="11">
        <v>635.64285714285711</v>
      </c>
    </row>
    <row r="15" spans="1:8" x14ac:dyDescent="0.3">
      <c r="A15">
        <v>509</v>
      </c>
      <c r="G15" s="11" t="s">
        <v>55</v>
      </c>
      <c r="H15" s="11">
        <v>72.443658072853097</v>
      </c>
    </row>
    <row r="16" spans="1:8" x14ac:dyDescent="0.3">
      <c r="G16" s="11" t="s">
        <v>56</v>
      </c>
      <c r="H16" s="11">
        <v>712</v>
      </c>
    </row>
    <row r="17" spans="7:8" x14ac:dyDescent="0.3">
      <c r="G17" s="11" t="s">
        <v>57</v>
      </c>
      <c r="H17" s="11" t="e">
        <v>#N/A</v>
      </c>
    </row>
    <row r="18" spans="7:8" x14ac:dyDescent="0.3">
      <c r="G18" s="11" t="s">
        <v>58</v>
      </c>
      <c r="H18" s="11">
        <v>271.05934835321648</v>
      </c>
    </row>
    <row r="19" spans="7:8" x14ac:dyDescent="0.3">
      <c r="G19" s="11" t="s">
        <v>59</v>
      </c>
      <c r="H19" s="11">
        <v>73473.170329670349</v>
      </c>
    </row>
    <row r="20" spans="7:8" x14ac:dyDescent="0.3">
      <c r="G20" s="11" t="s">
        <v>60</v>
      </c>
      <c r="H20" s="11">
        <v>-0.36903842151304866</v>
      </c>
    </row>
    <row r="21" spans="7:8" x14ac:dyDescent="0.3">
      <c r="G21" s="11" t="s">
        <v>61</v>
      </c>
      <c r="H21" s="11">
        <v>-0.71909610722420425</v>
      </c>
    </row>
    <row r="22" spans="7:8" x14ac:dyDescent="0.3">
      <c r="G22" s="11" t="s">
        <v>62</v>
      </c>
      <c r="H22" s="11">
        <v>901</v>
      </c>
    </row>
    <row r="23" spans="7:8" x14ac:dyDescent="0.3">
      <c r="G23" s="11" t="s">
        <v>63</v>
      </c>
      <c r="H23" s="11">
        <v>91</v>
      </c>
    </row>
    <row r="24" spans="7:8" x14ac:dyDescent="0.3">
      <c r="G24" s="11" t="s">
        <v>64</v>
      </c>
      <c r="H24" s="11">
        <v>992</v>
      </c>
    </row>
    <row r="25" spans="7:8" x14ac:dyDescent="0.3">
      <c r="G25" s="11" t="s">
        <v>65</v>
      </c>
      <c r="H25" s="11">
        <v>8899</v>
      </c>
    </row>
    <row r="26" spans="7:8" ht="15" thickBot="1" x14ac:dyDescent="0.35">
      <c r="G26" s="12" t="s">
        <v>66</v>
      </c>
      <c r="H26" s="12">
        <v>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77875-C403-4D1C-A84F-3DA830174925}">
  <dimension ref="A1:E11"/>
  <sheetViews>
    <sheetView tabSelected="1" workbookViewId="0">
      <selection activeCell="E2" sqref="E2:E11"/>
    </sheetView>
  </sheetViews>
  <sheetFormatPr defaultRowHeight="14.4" x14ac:dyDescent="0.3"/>
  <cols>
    <col min="1" max="1" width="11.109375" customWidth="1"/>
    <col min="5" max="5" width="10.6640625" customWidth="1"/>
  </cols>
  <sheetData>
    <row r="1" spans="1:5" x14ac:dyDescent="0.3">
      <c r="A1" s="4" t="s">
        <v>7</v>
      </c>
      <c r="B1" s="4" t="s">
        <v>4</v>
      </c>
      <c r="C1" s="4" t="s">
        <v>68</v>
      </c>
      <c r="D1" s="4" t="s">
        <v>69</v>
      </c>
      <c r="E1" s="4" t="s">
        <v>70</v>
      </c>
    </row>
    <row r="2" spans="1:5" x14ac:dyDescent="0.3">
      <c r="A2">
        <v>1</v>
      </c>
      <c r="B2">
        <v>95</v>
      </c>
      <c r="C2">
        <v>32</v>
      </c>
      <c r="D2">
        <v>37</v>
      </c>
      <c r="E2" s="14">
        <f>SUM(B2:D2)/300</f>
        <v>0.54666666666666663</v>
      </c>
    </row>
    <row r="3" spans="1:5" x14ac:dyDescent="0.3">
      <c r="A3">
        <v>2</v>
      </c>
      <c r="B3">
        <v>20</v>
      </c>
      <c r="C3">
        <v>43</v>
      </c>
      <c r="D3">
        <v>35</v>
      </c>
      <c r="E3" s="14">
        <f t="shared" ref="E3:E11" si="0">SUM(B3:D3)/300</f>
        <v>0.32666666666666666</v>
      </c>
    </row>
    <row r="4" spans="1:5" x14ac:dyDescent="0.3">
      <c r="A4">
        <v>3</v>
      </c>
      <c r="B4">
        <v>97</v>
      </c>
      <c r="C4">
        <v>35</v>
      </c>
      <c r="D4">
        <v>38</v>
      </c>
      <c r="E4" s="14">
        <f t="shared" si="0"/>
        <v>0.56666666666666665</v>
      </c>
    </row>
    <row r="5" spans="1:5" x14ac:dyDescent="0.3">
      <c r="A5">
        <v>4</v>
      </c>
      <c r="B5">
        <v>7</v>
      </c>
      <c r="C5">
        <v>48</v>
      </c>
      <c r="D5">
        <v>100</v>
      </c>
      <c r="E5" s="14">
        <f t="shared" si="0"/>
        <v>0.51666666666666672</v>
      </c>
    </row>
    <row r="6" spans="1:5" x14ac:dyDescent="0.3">
      <c r="A6">
        <v>5</v>
      </c>
      <c r="B6">
        <v>64</v>
      </c>
      <c r="C6">
        <v>48</v>
      </c>
      <c r="D6">
        <v>87</v>
      </c>
      <c r="E6" s="14">
        <f t="shared" si="0"/>
        <v>0.66333333333333333</v>
      </c>
    </row>
    <row r="7" spans="1:5" x14ac:dyDescent="0.3">
      <c r="A7">
        <v>6</v>
      </c>
      <c r="B7">
        <v>11</v>
      </c>
      <c r="C7">
        <v>77</v>
      </c>
      <c r="D7">
        <v>51</v>
      </c>
      <c r="E7" s="14">
        <f t="shared" si="0"/>
        <v>0.46333333333333332</v>
      </c>
    </row>
    <row r="8" spans="1:5" x14ac:dyDescent="0.3">
      <c r="A8">
        <v>7</v>
      </c>
      <c r="B8">
        <v>67</v>
      </c>
      <c r="C8">
        <v>44</v>
      </c>
      <c r="D8">
        <v>92</v>
      </c>
      <c r="E8" s="14">
        <f t="shared" si="0"/>
        <v>0.67666666666666664</v>
      </c>
    </row>
    <row r="9" spans="1:5" x14ac:dyDescent="0.3">
      <c r="A9">
        <v>8</v>
      </c>
      <c r="B9">
        <v>31</v>
      </c>
      <c r="C9">
        <v>55</v>
      </c>
      <c r="D9">
        <v>100</v>
      </c>
      <c r="E9" s="14">
        <f t="shared" si="0"/>
        <v>0.62</v>
      </c>
    </row>
    <row r="10" spans="1:5" x14ac:dyDescent="0.3">
      <c r="A10">
        <v>9</v>
      </c>
      <c r="B10">
        <v>38</v>
      </c>
      <c r="C10">
        <v>76</v>
      </c>
      <c r="D10">
        <v>1</v>
      </c>
      <c r="E10" s="14">
        <f t="shared" si="0"/>
        <v>0.38333333333333336</v>
      </c>
    </row>
    <row r="11" spans="1:5" x14ac:dyDescent="0.3">
      <c r="A11">
        <v>10</v>
      </c>
      <c r="B11">
        <v>72</v>
      </c>
      <c r="C11">
        <v>26</v>
      </c>
      <c r="D11">
        <v>77</v>
      </c>
      <c r="E11" s="14">
        <f t="shared" si="0"/>
        <v>0.58333333333333337</v>
      </c>
    </row>
  </sheetData>
  <conditionalFormatting sqref="B2:D11">
    <cfRule type="cellIs" dxfId="0" priority="1" operator="lessThan">
      <formula>40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FFA62-5CFF-4F5C-B2E4-514874E58410}">
  <dimension ref="A1:E11"/>
  <sheetViews>
    <sheetView workbookViewId="0">
      <selection activeCell="C2" sqref="C2"/>
    </sheetView>
  </sheetViews>
  <sheetFormatPr defaultRowHeight="14.4" x14ac:dyDescent="0.3"/>
  <cols>
    <col min="1" max="1" width="10.88671875" customWidth="1"/>
  </cols>
  <sheetData>
    <row r="1" spans="1:5" x14ac:dyDescent="0.3">
      <c r="A1" s="4" t="s">
        <v>7</v>
      </c>
      <c r="B1" s="4" t="s">
        <v>4</v>
      </c>
      <c r="C1" s="4" t="s">
        <v>68</v>
      </c>
      <c r="D1" s="4" t="s">
        <v>69</v>
      </c>
      <c r="E1" s="4" t="s">
        <v>70</v>
      </c>
    </row>
    <row r="2" spans="1:5" x14ac:dyDescent="0.3">
      <c r="A2">
        <v>11</v>
      </c>
      <c r="B2">
        <v>25</v>
      </c>
      <c r="C2">
        <v>49</v>
      </c>
      <c r="D2">
        <v>23</v>
      </c>
      <c r="E2" s="14">
        <f>SUM(B2:D2)/300</f>
        <v>0.32333333333333331</v>
      </c>
    </row>
    <row r="3" spans="1:5" x14ac:dyDescent="0.3">
      <c r="A3">
        <v>12</v>
      </c>
      <c r="B3">
        <v>54</v>
      </c>
      <c r="C3">
        <v>24</v>
      </c>
      <c r="D3">
        <v>97</v>
      </c>
      <c r="E3" s="14">
        <f t="shared" ref="E3:E11" si="0">SUM(B3:D3)/300</f>
        <v>0.58333333333333337</v>
      </c>
    </row>
    <row r="4" spans="1:5" x14ac:dyDescent="0.3">
      <c r="A4">
        <v>13</v>
      </c>
      <c r="B4">
        <v>41</v>
      </c>
      <c r="C4">
        <v>90</v>
      </c>
      <c r="D4">
        <v>56</v>
      </c>
      <c r="E4" s="14">
        <f t="shared" si="0"/>
        <v>0.62333333333333329</v>
      </c>
    </row>
    <row r="5" spans="1:5" x14ac:dyDescent="0.3">
      <c r="A5">
        <v>14</v>
      </c>
      <c r="B5">
        <v>48</v>
      </c>
      <c r="C5">
        <v>76</v>
      </c>
      <c r="D5">
        <v>62</v>
      </c>
      <c r="E5" s="14">
        <f t="shared" si="0"/>
        <v>0.62</v>
      </c>
    </row>
    <row r="6" spans="1:5" x14ac:dyDescent="0.3">
      <c r="A6">
        <v>15</v>
      </c>
      <c r="B6">
        <v>81</v>
      </c>
      <c r="C6">
        <v>71</v>
      </c>
      <c r="D6">
        <v>71</v>
      </c>
      <c r="E6" s="14">
        <f t="shared" si="0"/>
        <v>0.74333333333333329</v>
      </c>
    </row>
    <row r="7" spans="1:5" x14ac:dyDescent="0.3">
      <c r="A7">
        <v>16</v>
      </c>
      <c r="B7">
        <v>43</v>
      </c>
      <c r="C7">
        <v>44</v>
      </c>
      <c r="D7">
        <v>62</v>
      </c>
      <c r="E7" s="14">
        <f t="shared" si="0"/>
        <v>0.49666666666666665</v>
      </c>
    </row>
    <row r="8" spans="1:5" x14ac:dyDescent="0.3">
      <c r="A8">
        <v>17</v>
      </c>
      <c r="B8">
        <v>47</v>
      </c>
      <c r="C8">
        <v>30</v>
      </c>
      <c r="D8">
        <v>48</v>
      </c>
      <c r="E8" s="14">
        <f t="shared" si="0"/>
        <v>0.41666666666666669</v>
      </c>
    </row>
    <row r="9" spans="1:5" x14ac:dyDescent="0.3">
      <c r="A9">
        <v>18</v>
      </c>
      <c r="B9">
        <v>62</v>
      </c>
      <c r="C9">
        <v>53</v>
      </c>
      <c r="D9">
        <v>24</v>
      </c>
      <c r="E9" s="14">
        <f t="shared" si="0"/>
        <v>0.46333333333333332</v>
      </c>
    </row>
    <row r="10" spans="1:5" x14ac:dyDescent="0.3">
      <c r="A10">
        <v>19</v>
      </c>
      <c r="B10">
        <v>81</v>
      </c>
      <c r="C10">
        <v>99</v>
      </c>
      <c r="D10">
        <v>31</v>
      </c>
      <c r="E10" s="14">
        <f t="shared" si="0"/>
        <v>0.70333333333333337</v>
      </c>
    </row>
    <row r="11" spans="1:5" x14ac:dyDescent="0.3">
      <c r="A11">
        <v>20</v>
      </c>
      <c r="B11">
        <v>53</v>
      </c>
      <c r="C11">
        <v>96</v>
      </c>
      <c r="D11">
        <v>79</v>
      </c>
      <c r="E11" s="14">
        <f t="shared" si="0"/>
        <v>0.76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XLOOKUP</vt:lpstr>
      <vt:lpstr>Data Validation</vt:lpstr>
      <vt:lpstr>From Which Pivot is Created</vt:lpstr>
      <vt:lpstr>Pivot</vt:lpstr>
      <vt:lpstr>Pie chart using Pivot</vt:lpstr>
      <vt:lpstr>Stats</vt:lpstr>
      <vt:lpstr>Batch 1(Macro)</vt:lpstr>
      <vt:lpstr>Batch 2(Macro)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Kuldeep Saini</dc:creator>
  <cp:lastModifiedBy>Kuldeep Saini</cp:lastModifiedBy>
  <dcterms:created xsi:type="dcterms:W3CDTF">2023-09-17T06:18:19Z</dcterms:created>
  <dcterms:modified xsi:type="dcterms:W3CDTF">2023-09-17T14:22:36Z</dcterms:modified>
</cp:coreProperties>
</file>